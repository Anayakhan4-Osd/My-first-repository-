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4de8d56e621a34/Desktop/"/>
    </mc:Choice>
  </mc:AlternateContent>
  <xr:revisionPtr revIDLastSave="0" documentId="8_{DA6737FB-63DE-425D-89D9-FE9EF687FCFA}" xr6:coauthVersionLast="47" xr6:coauthVersionMax="47" xr10:uidLastSave="{00000000-0000-0000-0000-000000000000}"/>
  <bookViews>
    <workbookView xWindow="-108" yWindow="-108" windowWidth="23256" windowHeight="12456" xr2:uid="{FB9DD3B0-4A59-4281-ABC1-4994BF566DF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9" i="1" l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8" i="1"/>
  <c r="F8" i="1"/>
  <c r="J8" i="1" s="1"/>
  <c r="I25" i="1"/>
  <c r="I9" i="1"/>
  <c r="I10" i="1"/>
  <c r="J10" i="1" s="1"/>
  <c r="I11" i="1"/>
  <c r="I12" i="1"/>
  <c r="J12" i="1" s="1"/>
  <c r="I13" i="1"/>
  <c r="I14" i="1"/>
  <c r="J14" i="1" s="1"/>
  <c r="I15" i="1"/>
  <c r="I16" i="1"/>
  <c r="J16" i="1" s="1"/>
  <c r="I17" i="1"/>
  <c r="J17" i="1" s="1"/>
  <c r="I18" i="1"/>
  <c r="J18" i="1" s="1"/>
  <c r="I19" i="1"/>
  <c r="J19" i="1" s="1"/>
  <c r="I20" i="1"/>
  <c r="J20" i="1" s="1"/>
  <c r="I21" i="1"/>
  <c r="I22" i="1"/>
  <c r="J22" i="1" s="1"/>
  <c r="I23" i="1"/>
  <c r="I24" i="1"/>
  <c r="I26" i="1"/>
  <c r="J26" i="1" s="1"/>
  <c r="I27" i="1"/>
  <c r="J27" i="1" s="1"/>
  <c r="J15" i="1"/>
  <c r="J23" i="1"/>
  <c r="J24" i="1"/>
  <c r="I8" i="1"/>
  <c r="J9" i="1"/>
  <c r="J11" i="1"/>
  <c r="J13" i="1"/>
  <c r="J21" i="1"/>
  <c r="J25" i="1"/>
  <c r="I21" i="2"/>
  <c r="G21" i="2"/>
  <c r="F21" i="2"/>
  <c r="I20" i="2"/>
  <c r="G20" i="2"/>
  <c r="F20" i="2"/>
  <c r="I19" i="2"/>
  <c r="G19" i="2"/>
  <c r="F19" i="2"/>
  <c r="I18" i="2"/>
  <c r="G18" i="2"/>
  <c r="F18" i="2"/>
  <c r="I17" i="2"/>
  <c r="G17" i="2"/>
  <c r="F17" i="2"/>
  <c r="I16" i="2"/>
  <c r="G16" i="2"/>
  <c r="F16" i="2"/>
  <c r="I15" i="2"/>
  <c r="G15" i="2"/>
  <c r="F15" i="2"/>
  <c r="I14" i="2"/>
  <c r="G14" i="2"/>
  <c r="F14" i="2"/>
  <c r="I13" i="2"/>
  <c r="G13" i="2"/>
  <c r="F13" i="2"/>
  <c r="I12" i="2"/>
  <c r="G12" i="2"/>
  <c r="F12" i="2"/>
  <c r="I11" i="2"/>
  <c r="G11" i="2"/>
  <c r="F11" i="2"/>
  <c r="I10" i="2"/>
  <c r="G10" i="2"/>
  <c r="F10" i="2"/>
  <c r="I9" i="2"/>
  <c r="G9" i="2"/>
  <c r="F9" i="2"/>
  <c r="I8" i="2"/>
  <c r="G8" i="2"/>
  <c r="F8" i="2"/>
  <c r="I7" i="2"/>
  <c r="G7" i="2"/>
  <c r="F7" i="2"/>
  <c r="I6" i="2"/>
  <c r="G6" i="2"/>
  <c r="F6" i="2"/>
  <c r="I5" i="2"/>
  <c r="G5" i="2"/>
  <c r="F5" i="2"/>
  <c r="I4" i="2"/>
  <c r="G4" i="2"/>
  <c r="F4" i="2"/>
  <c r="I3" i="2"/>
  <c r="G3" i="2"/>
  <c r="F3" i="2"/>
  <c r="I2" i="2"/>
  <c r="G2" i="2"/>
  <c r="F2" i="2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</calcChain>
</file>

<file path=xl/sharedStrings.xml><?xml version="1.0" encoding="utf-8"?>
<sst xmlns="http://schemas.openxmlformats.org/spreadsheetml/2006/main" count="108" uniqueCount="39">
  <si>
    <t>S.NO</t>
  </si>
  <si>
    <t xml:space="preserve">EMPLOYE ID </t>
  </si>
  <si>
    <t>EMPLOYE NAMES</t>
  </si>
  <si>
    <t>DESIGNATION</t>
  </si>
  <si>
    <t>BASIC SALARY</t>
  </si>
  <si>
    <t>OVER TIME HORES</t>
  </si>
  <si>
    <t xml:space="preserve">OVER TIME SALARY </t>
  </si>
  <si>
    <t>GROSS SALARY</t>
  </si>
  <si>
    <t>TOTAL DEDICATION</t>
  </si>
  <si>
    <t>NET SALARY</t>
  </si>
  <si>
    <t>DEARANCE ALLOWANCE(2%)</t>
  </si>
  <si>
    <t>HOUSE RENT ALLOWANCE           20%</t>
  </si>
  <si>
    <t>PF                            12%</t>
  </si>
  <si>
    <t>ESI   (0.75%)</t>
  </si>
  <si>
    <t xml:space="preserve">SANA </t>
  </si>
  <si>
    <t>SHEHNAZ</t>
  </si>
  <si>
    <t>SHEERAZ</t>
  </si>
  <si>
    <t xml:space="preserve">SANAIA </t>
  </si>
  <si>
    <t xml:space="preserve">NOREEN </t>
  </si>
  <si>
    <t>SHAREEKA</t>
  </si>
  <si>
    <t>ALI</t>
  </si>
  <si>
    <t>SUHANA</t>
  </si>
  <si>
    <t>MEHNAZ</t>
  </si>
  <si>
    <t>OMAIMA</t>
  </si>
  <si>
    <t>HIRA</t>
  </si>
  <si>
    <t xml:space="preserve">TAHIR </t>
  </si>
  <si>
    <t>TASLEEMA</t>
  </si>
  <si>
    <t>ADINA</t>
  </si>
  <si>
    <t>SHOAB</t>
  </si>
  <si>
    <t>PARVEEN</t>
  </si>
  <si>
    <t>BUSHRA</t>
  </si>
  <si>
    <t>YASMEEN</t>
  </si>
  <si>
    <t>NAEEMA</t>
  </si>
  <si>
    <t>NASEEMA</t>
  </si>
  <si>
    <t>STAF</t>
  </si>
  <si>
    <t xml:space="preserve">PROVIDENT FUND </t>
  </si>
  <si>
    <t>EMPLOYEE STATE ENSURANCE</t>
  </si>
  <si>
    <t>DEARANCE ALLOWANCE(5%)</t>
  </si>
  <si>
    <t>OVER TIME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</si>
</sst>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/>
    <xf numFmtId="0" fontId="2" fillId="2" borderId="1" xfId="0" applyFont="1" applyFill="1" applyBorder="1" applyAlignment="1">
      <alignment wrapText="1"/>
    </xf>
    <xf numFmtId="0" fontId="0" fillId="0" borderId="1" xfId="0" applyBorder="1"/>
    <xf numFmtId="0" fontId="2" fillId="3" borderId="1" xfId="0" applyFont="1" applyFill="1" applyBorder="1"/>
    <xf numFmtId="1" fontId="2" fillId="3" borderId="1" xfId="0" applyNumberFormat="1" applyFont="1" applyFill="1" applyBorder="1" applyAlignment="1">
      <alignment horizontal="left"/>
    </xf>
    <xf numFmtId="0" fontId="2" fillId="5" borderId="1" xfId="0" applyFont="1" applyFill="1" applyBorder="1"/>
    <xf numFmtId="0" fontId="2" fillId="6" borderId="1" xfId="0" applyFont="1" applyFill="1" applyBorder="1" applyAlignment="1">
      <alignment horizontal="right" indent="7"/>
    </xf>
    <xf numFmtId="0" fontId="2" fillId="6" borderId="1" xfId="0" applyFont="1" applyFill="1" applyBorder="1"/>
    <xf numFmtId="0" fontId="1" fillId="4" borderId="1" xfId="0" applyFont="1" applyFill="1" applyBorder="1"/>
    <xf numFmtId="1" fontId="3" fillId="4" borderId="1" xfId="0" applyNumberFormat="1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289560</xdr:colOff>
      <xdr:row>3</xdr:row>
      <xdr:rowOff>53340</xdr:rowOff>
    </xdr:from>
    <xdr:to>
      <xdr:col>10</xdr:col>
      <xdr:colOff>708660</xdr:colOff>
      <xdr:row>4</xdr:row>
      <xdr:rowOff>144780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EE64F824-DDFD-5FEB-20F0-AE40C43F88F8}"/>
            </a:ext>
          </a:extLst>
        </xdr:cNvPr>
        <xdr:cNvSpPr/>
      </xdr:nvSpPr>
      <xdr:spPr>
        <a:xfrm>
          <a:off x="3787140" y="601980"/>
          <a:ext cx="5516880" cy="27432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 baseline="0">
              <a:solidFill>
                <a:schemeClr val="tx1"/>
              </a:solidFill>
            </a:rPr>
            <a:t>                  OPEN     ENDED   LAB (PROJECT)    ( SALARY SHEET)</a:t>
          </a:r>
          <a:endParaRPr lang="en-US" sz="1400" b="1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98872-DC4E-40D0-97BA-C6E529C710DB}">
  <sheetPr>
    <pageSetUpPr fitToPage="1"/>
  </sheetPr>
  <dimension ref="A3:N27"/>
  <sheetViews>
    <sheetView tabSelected="1" workbookViewId="0">
      <selection activeCell="J13" sqref="J13"/>
    </sheetView>
  </sheetViews>
  <sheetFormatPr defaultRowHeight="14.4" x14ac:dyDescent="0.3"/>
  <cols>
    <col min="2" max="2" width="9.109375" customWidth="1"/>
    <col min="3" max="3" width="11.44140625" customWidth="1"/>
    <col min="4" max="4" width="12.6640625" customWidth="1"/>
    <col min="6" max="6" width="16.33203125" customWidth="1"/>
    <col min="7" max="7" width="13.21875" customWidth="1"/>
    <col min="9" max="9" width="19.109375" customWidth="1"/>
    <col min="10" max="10" width="14.6640625" customWidth="1"/>
    <col min="11" max="11" width="12.6640625" customWidth="1"/>
    <col min="12" max="12" width="18.5546875" customWidth="1"/>
    <col min="13" max="13" width="18.6640625" customWidth="1"/>
    <col min="14" max="14" width="23.21875" customWidth="1"/>
  </cols>
  <sheetData>
    <row r="3" spans="1:14" ht="14.4" customHeight="1" x14ac:dyDescent="0.3"/>
    <row r="4" spans="1:14" ht="14.4" customHeight="1" x14ac:dyDescent="0.3">
      <c r="E4" s="11"/>
      <c r="F4" s="11"/>
      <c r="G4" s="11"/>
      <c r="H4" s="11"/>
      <c r="I4" s="11"/>
      <c r="J4" s="11"/>
      <c r="K4" s="11"/>
      <c r="L4" s="11"/>
    </row>
    <row r="5" spans="1:14" ht="14.4" customHeight="1" x14ac:dyDescent="0.3">
      <c r="E5" s="11"/>
      <c r="F5" s="11"/>
      <c r="G5" s="11"/>
      <c r="H5" s="11"/>
      <c r="I5" s="11"/>
      <c r="J5" s="11"/>
      <c r="K5" s="11"/>
      <c r="L5" s="11"/>
    </row>
    <row r="6" spans="1:14" ht="18" customHeight="1" x14ac:dyDescent="0.3">
      <c r="E6" s="12"/>
      <c r="F6" s="12"/>
      <c r="G6" s="12"/>
      <c r="H6" s="12"/>
      <c r="I6" s="12"/>
      <c r="J6" s="12"/>
      <c r="K6" s="12"/>
      <c r="L6" s="12"/>
    </row>
    <row r="7" spans="1:14" ht="43.2" x14ac:dyDescent="0.3">
      <c r="A7" s="1" t="s">
        <v>0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37</v>
      </c>
      <c r="G7" s="2" t="s">
        <v>11</v>
      </c>
      <c r="H7" s="2" t="s">
        <v>38</v>
      </c>
      <c r="I7" s="2" t="s">
        <v>6</v>
      </c>
      <c r="J7" s="2" t="s">
        <v>7</v>
      </c>
      <c r="K7" s="2" t="s">
        <v>35</v>
      </c>
      <c r="L7" s="2" t="s">
        <v>36</v>
      </c>
      <c r="M7" s="2" t="s">
        <v>8</v>
      </c>
      <c r="N7" s="2" t="s">
        <v>9</v>
      </c>
    </row>
    <row r="8" spans="1:14" x14ac:dyDescent="0.3">
      <c r="A8" s="4">
        <v>1</v>
      </c>
      <c r="B8" s="9">
        <v>101</v>
      </c>
      <c r="C8" s="4" t="s">
        <v>14</v>
      </c>
      <c r="D8" s="4" t="s">
        <v>34</v>
      </c>
      <c r="E8" s="6">
        <v>15000</v>
      </c>
      <c r="F8" s="8">
        <f>E8*5%</f>
        <v>750</v>
      </c>
      <c r="G8" s="4">
        <f>E8*20%</f>
        <v>3000</v>
      </c>
      <c r="H8" s="6">
        <v>10</v>
      </c>
      <c r="I8" s="7">
        <f>E8/26/8*H8</f>
        <v>721.15384615384619</v>
      </c>
      <c r="J8" s="5">
        <f>E8+F8+G8+I8</f>
        <v>19471.153846153848</v>
      </c>
      <c r="K8" s="6">
        <f>(E8+F8)*12%</f>
        <v>1890</v>
      </c>
      <c r="L8" s="8">
        <f>IF(J8&lt;=21000,J8*0.75%,0)</f>
        <v>146.03365384615384</v>
      </c>
      <c r="M8" s="4">
        <f>K8+L8</f>
        <v>2036.0336538461538</v>
      </c>
      <c r="N8" s="10">
        <f>J8-M8</f>
        <v>17435.120192307695</v>
      </c>
    </row>
    <row r="9" spans="1:14" x14ac:dyDescent="0.3">
      <c r="A9" s="4">
        <v>2</v>
      </c>
      <c r="B9" s="9">
        <v>102</v>
      </c>
      <c r="C9" s="4" t="s">
        <v>15</v>
      </c>
      <c r="D9" s="4" t="s">
        <v>34</v>
      </c>
      <c r="E9" s="6">
        <v>18000</v>
      </c>
      <c r="F9" s="8">
        <f t="shared" ref="F9:F27" si="0">E9*2%</f>
        <v>360</v>
      </c>
      <c r="G9" s="4">
        <f t="shared" ref="G9:G27" si="1">E9*20%</f>
        <v>3600</v>
      </c>
      <c r="H9" s="6">
        <v>20</v>
      </c>
      <c r="I9" s="7">
        <f t="shared" ref="I9:I27" si="2">E9/26/8*H9</f>
        <v>1730.7692307692307</v>
      </c>
      <c r="J9" s="5">
        <f>E9+F9+G9+I9</f>
        <v>23690.76923076923</v>
      </c>
      <c r="K9" s="6">
        <f t="shared" ref="K9:K27" si="3">(E9+F9)*12%</f>
        <v>2203.1999999999998</v>
      </c>
      <c r="L9" s="8">
        <f t="shared" ref="L9:L27" si="4">IF(J9&lt;=21000,J9*0.75%,0)</f>
        <v>0</v>
      </c>
      <c r="M9" s="4">
        <f t="shared" ref="M9:M27" si="5">K9+L9</f>
        <v>2203.1999999999998</v>
      </c>
      <c r="N9" s="10">
        <f t="shared" ref="N9:N27" si="6">J9-M9</f>
        <v>21487.56923076923</v>
      </c>
    </row>
    <row r="10" spans="1:14" x14ac:dyDescent="0.3">
      <c r="A10" s="4">
        <v>3</v>
      </c>
      <c r="B10" s="9">
        <v>103</v>
      </c>
      <c r="C10" s="4" t="s">
        <v>16</v>
      </c>
      <c r="D10" s="4" t="s">
        <v>34</v>
      </c>
      <c r="E10" s="6">
        <v>30000</v>
      </c>
      <c r="F10" s="8">
        <f t="shared" si="0"/>
        <v>600</v>
      </c>
      <c r="G10" s="4">
        <f t="shared" si="1"/>
        <v>6000</v>
      </c>
      <c r="H10" s="6">
        <v>5</v>
      </c>
      <c r="I10" s="7">
        <f t="shared" si="2"/>
        <v>721.15384615384619</v>
      </c>
      <c r="J10" s="5">
        <f t="shared" ref="J10:J27" si="7">E10+F10+G10+I10</f>
        <v>37321.153846153844</v>
      </c>
      <c r="K10" s="6">
        <f t="shared" si="3"/>
        <v>3672</v>
      </c>
      <c r="L10" s="8">
        <f t="shared" si="4"/>
        <v>0</v>
      </c>
      <c r="M10" s="4">
        <f t="shared" si="5"/>
        <v>3672</v>
      </c>
      <c r="N10" s="10">
        <f t="shared" si="6"/>
        <v>33649.153846153844</v>
      </c>
    </row>
    <row r="11" spans="1:14" x14ac:dyDescent="0.3">
      <c r="A11" s="4">
        <v>4</v>
      </c>
      <c r="B11" s="9">
        <v>104</v>
      </c>
      <c r="C11" s="4" t="s">
        <v>17</v>
      </c>
      <c r="D11" s="4" t="s">
        <v>34</v>
      </c>
      <c r="E11" s="6">
        <v>40000</v>
      </c>
      <c r="F11" s="8">
        <f t="shared" si="0"/>
        <v>800</v>
      </c>
      <c r="G11" s="4">
        <f t="shared" si="1"/>
        <v>8000</v>
      </c>
      <c r="H11" s="6">
        <v>7</v>
      </c>
      <c r="I11" s="7">
        <f t="shared" si="2"/>
        <v>1346.1538461538462</v>
      </c>
      <c r="J11" s="5">
        <f t="shared" si="7"/>
        <v>50146.153846153844</v>
      </c>
      <c r="K11" s="6">
        <f t="shared" si="3"/>
        <v>4896</v>
      </c>
      <c r="L11" s="8">
        <f t="shared" si="4"/>
        <v>0</v>
      </c>
      <c r="M11" s="4">
        <f t="shared" si="5"/>
        <v>4896</v>
      </c>
      <c r="N11" s="10">
        <f t="shared" si="6"/>
        <v>45250.153846153844</v>
      </c>
    </row>
    <row r="12" spans="1:14" x14ac:dyDescent="0.3">
      <c r="A12" s="4">
        <v>5</v>
      </c>
      <c r="B12" s="9">
        <v>105</v>
      </c>
      <c r="C12" s="4" t="s">
        <v>18</v>
      </c>
      <c r="D12" s="4" t="s">
        <v>34</v>
      </c>
      <c r="E12" s="6">
        <v>50000</v>
      </c>
      <c r="F12" s="8">
        <f t="shared" si="0"/>
        <v>1000</v>
      </c>
      <c r="G12" s="4">
        <f t="shared" si="1"/>
        <v>10000</v>
      </c>
      <c r="H12" s="6">
        <v>8</v>
      </c>
      <c r="I12" s="7">
        <f t="shared" si="2"/>
        <v>1923.0769230769231</v>
      </c>
      <c r="J12" s="5">
        <f t="shared" si="7"/>
        <v>62923.076923076922</v>
      </c>
      <c r="K12" s="6">
        <f t="shared" si="3"/>
        <v>6120</v>
      </c>
      <c r="L12" s="8">
        <f t="shared" si="4"/>
        <v>0</v>
      </c>
      <c r="M12" s="4">
        <f t="shared" si="5"/>
        <v>6120</v>
      </c>
      <c r="N12" s="10">
        <f t="shared" si="6"/>
        <v>56803.076923076922</v>
      </c>
    </row>
    <row r="13" spans="1:14" x14ac:dyDescent="0.3">
      <c r="A13" s="4">
        <v>6</v>
      </c>
      <c r="B13" s="9">
        <v>106</v>
      </c>
      <c r="C13" s="4" t="s">
        <v>19</v>
      </c>
      <c r="D13" s="4" t="s">
        <v>34</v>
      </c>
      <c r="E13" s="6">
        <v>20000</v>
      </c>
      <c r="F13" s="8">
        <f t="shared" si="0"/>
        <v>400</v>
      </c>
      <c r="G13" s="4">
        <f t="shared" si="1"/>
        <v>4000</v>
      </c>
      <c r="H13" s="6">
        <v>10</v>
      </c>
      <c r="I13" s="7">
        <f t="shared" si="2"/>
        <v>961.53846153846166</v>
      </c>
      <c r="J13" s="5">
        <f t="shared" si="7"/>
        <v>25361.538461538461</v>
      </c>
      <c r="K13" s="6">
        <f t="shared" si="3"/>
        <v>2448</v>
      </c>
      <c r="L13" s="8">
        <f t="shared" si="4"/>
        <v>0</v>
      </c>
      <c r="M13" s="4">
        <f t="shared" si="5"/>
        <v>2448</v>
      </c>
      <c r="N13" s="10">
        <f t="shared" si="6"/>
        <v>22913.538461538461</v>
      </c>
    </row>
    <row r="14" spans="1:14" x14ac:dyDescent="0.3">
      <c r="A14" s="4">
        <v>7</v>
      </c>
      <c r="B14" s="9">
        <v>107</v>
      </c>
      <c r="C14" s="4" t="s">
        <v>20</v>
      </c>
      <c r="D14" s="4" t="s">
        <v>34</v>
      </c>
      <c r="E14" s="6">
        <v>12000</v>
      </c>
      <c r="F14" s="8">
        <f t="shared" si="0"/>
        <v>240</v>
      </c>
      <c r="G14" s="4">
        <f t="shared" si="1"/>
        <v>2400</v>
      </c>
      <c r="H14" s="6">
        <v>3</v>
      </c>
      <c r="I14" s="7">
        <f t="shared" si="2"/>
        <v>173.07692307692309</v>
      </c>
      <c r="J14" s="5">
        <f t="shared" si="7"/>
        <v>14813.076923076924</v>
      </c>
      <c r="K14" s="6">
        <f t="shared" si="3"/>
        <v>1468.8</v>
      </c>
      <c r="L14" s="8">
        <f t="shared" si="4"/>
        <v>111.09807692307693</v>
      </c>
      <c r="M14" s="4">
        <f t="shared" si="5"/>
        <v>1579.8980769230768</v>
      </c>
      <c r="N14" s="10">
        <f t="shared" si="6"/>
        <v>13233.178846153847</v>
      </c>
    </row>
    <row r="15" spans="1:14" x14ac:dyDescent="0.3">
      <c r="A15" s="4">
        <v>8</v>
      </c>
      <c r="B15" s="9">
        <v>108</v>
      </c>
      <c r="C15" s="4" t="s">
        <v>21</v>
      </c>
      <c r="D15" s="4" t="s">
        <v>34</v>
      </c>
      <c r="E15" s="6">
        <v>5000</v>
      </c>
      <c r="F15" s="8">
        <f t="shared" si="0"/>
        <v>100</v>
      </c>
      <c r="G15" s="4">
        <f t="shared" si="1"/>
        <v>1000</v>
      </c>
      <c r="H15" s="6">
        <v>7</v>
      </c>
      <c r="I15" s="7">
        <f t="shared" si="2"/>
        <v>168.26923076923077</v>
      </c>
      <c r="J15" s="5">
        <f t="shared" si="7"/>
        <v>6268.2692307692305</v>
      </c>
      <c r="K15" s="6">
        <f t="shared" si="3"/>
        <v>612</v>
      </c>
      <c r="L15" s="8">
        <f t="shared" si="4"/>
        <v>47.012019230769226</v>
      </c>
      <c r="M15" s="4">
        <f t="shared" si="5"/>
        <v>659.01201923076928</v>
      </c>
      <c r="N15" s="10">
        <f t="shared" si="6"/>
        <v>5609.257211538461</v>
      </c>
    </row>
    <row r="16" spans="1:14" x14ac:dyDescent="0.3">
      <c r="A16" s="4">
        <v>9</v>
      </c>
      <c r="B16" s="9">
        <v>109</v>
      </c>
      <c r="C16" s="4" t="s">
        <v>22</v>
      </c>
      <c r="D16" s="4" t="s">
        <v>34</v>
      </c>
      <c r="E16" s="6">
        <v>4000</v>
      </c>
      <c r="F16" s="8">
        <f t="shared" si="0"/>
        <v>80</v>
      </c>
      <c r="G16" s="4">
        <f t="shared" si="1"/>
        <v>800</v>
      </c>
      <c r="H16" s="6">
        <v>9</v>
      </c>
      <c r="I16" s="7">
        <f t="shared" si="2"/>
        <v>173.07692307692307</v>
      </c>
      <c r="J16" s="5">
        <f t="shared" si="7"/>
        <v>5053.0769230769229</v>
      </c>
      <c r="K16" s="6">
        <f t="shared" si="3"/>
        <v>489.59999999999997</v>
      </c>
      <c r="L16" s="8">
        <f t="shared" si="4"/>
        <v>37.898076923076921</v>
      </c>
      <c r="M16" s="4">
        <f t="shared" si="5"/>
        <v>527.49807692307684</v>
      </c>
      <c r="N16" s="10">
        <f t="shared" si="6"/>
        <v>4525.5788461538459</v>
      </c>
    </row>
    <row r="17" spans="1:14" x14ac:dyDescent="0.3">
      <c r="A17" s="4">
        <v>10</v>
      </c>
      <c r="B17" s="9">
        <v>110</v>
      </c>
      <c r="C17" s="4" t="s">
        <v>23</v>
      </c>
      <c r="D17" s="4" t="s">
        <v>34</v>
      </c>
      <c r="E17" s="6">
        <v>23000</v>
      </c>
      <c r="F17" s="8">
        <f t="shared" si="0"/>
        <v>460</v>
      </c>
      <c r="G17" s="4">
        <f t="shared" si="1"/>
        <v>4600</v>
      </c>
      <c r="H17" s="6">
        <v>21</v>
      </c>
      <c r="I17" s="7">
        <f t="shared" si="2"/>
        <v>2322.1153846153848</v>
      </c>
      <c r="J17" s="5">
        <f t="shared" si="7"/>
        <v>30382.115384615383</v>
      </c>
      <c r="K17" s="6">
        <f t="shared" si="3"/>
        <v>2815.2</v>
      </c>
      <c r="L17" s="8">
        <f t="shared" si="4"/>
        <v>0</v>
      </c>
      <c r="M17" s="4">
        <f t="shared" si="5"/>
        <v>2815.2</v>
      </c>
      <c r="N17" s="10">
        <f t="shared" si="6"/>
        <v>27566.915384615382</v>
      </c>
    </row>
    <row r="18" spans="1:14" x14ac:dyDescent="0.3">
      <c r="A18" s="4">
        <v>11</v>
      </c>
      <c r="B18" s="9">
        <v>111</v>
      </c>
      <c r="C18" s="4" t="s">
        <v>24</v>
      </c>
      <c r="D18" s="4" t="s">
        <v>34</v>
      </c>
      <c r="E18" s="6">
        <v>40000</v>
      </c>
      <c r="F18" s="8">
        <f t="shared" si="0"/>
        <v>800</v>
      </c>
      <c r="G18" s="4">
        <f t="shared" si="1"/>
        <v>8000</v>
      </c>
      <c r="H18" s="6">
        <v>9</v>
      </c>
      <c r="I18" s="7">
        <f t="shared" si="2"/>
        <v>1730.7692307692309</v>
      </c>
      <c r="J18" s="5">
        <f t="shared" si="7"/>
        <v>50530.769230769234</v>
      </c>
      <c r="K18" s="6">
        <f t="shared" si="3"/>
        <v>4896</v>
      </c>
      <c r="L18" s="8">
        <f t="shared" si="4"/>
        <v>0</v>
      </c>
      <c r="M18" s="4">
        <f t="shared" si="5"/>
        <v>4896</v>
      </c>
      <c r="N18" s="10">
        <f t="shared" si="6"/>
        <v>45634.769230769234</v>
      </c>
    </row>
    <row r="19" spans="1:14" x14ac:dyDescent="0.3">
      <c r="A19" s="4">
        <v>12</v>
      </c>
      <c r="B19" s="9">
        <v>112</v>
      </c>
      <c r="C19" s="4" t="s">
        <v>25</v>
      </c>
      <c r="D19" s="4" t="s">
        <v>34</v>
      </c>
      <c r="E19" s="6">
        <v>60000</v>
      </c>
      <c r="F19" s="8">
        <f t="shared" si="0"/>
        <v>1200</v>
      </c>
      <c r="G19" s="4">
        <f t="shared" si="1"/>
        <v>12000</v>
      </c>
      <c r="H19" s="6">
        <v>5</v>
      </c>
      <c r="I19" s="7">
        <f t="shared" si="2"/>
        <v>1442.3076923076924</v>
      </c>
      <c r="J19" s="5">
        <f t="shared" si="7"/>
        <v>74642.307692307688</v>
      </c>
      <c r="K19" s="6">
        <f t="shared" si="3"/>
        <v>7344</v>
      </c>
      <c r="L19" s="8">
        <f t="shared" si="4"/>
        <v>0</v>
      </c>
      <c r="M19" s="4">
        <f t="shared" si="5"/>
        <v>7344</v>
      </c>
      <c r="N19" s="10">
        <f t="shared" si="6"/>
        <v>67298.307692307688</v>
      </c>
    </row>
    <row r="20" spans="1:14" x14ac:dyDescent="0.3">
      <c r="A20" s="4">
        <v>13</v>
      </c>
      <c r="B20" s="9">
        <v>113</v>
      </c>
      <c r="C20" s="4" t="s">
        <v>26</v>
      </c>
      <c r="D20" s="4" t="s">
        <v>34</v>
      </c>
      <c r="E20" s="6">
        <v>70000</v>
      </c>
      <c r="F20" s="8">
        <f t="shared" si="0"/>
        <v>1400</v>
      </c>
      <c r="G20" s="4">
        <f t="shared" si="1"/>
        <v>14000</v>
      </c>
      <c r="H20" s="6">
        <v>4</v>
      </c>
      <c r="I20" s="7">
        <f t="shared" si="2"/>
        <v>1346.1538461538462</v>
      </c>
      <c r="J20" s="5">
        <f t="shared" si="7"/>
        <v>86746.153846153844</v>
      </c>
      <c r="K20" s="6">
        <f t="shared" si="3"/>
        <v>8568</v>
      </c>
      <c r="L20" s="8">
        <f t="shared" si="4"/>
        <v>0</v>
      </c>
      <c r="M20" s="4">
        <f t="shared" si="5"/>
        <v>8568</v>
      </c>
      <c r="N20" s="10">
        <f t="shared" si="6"/>
        <v>78178.153846153844</v>
      </c>
    </row>
    <row r="21" spans="1:14" x14ac:dyDescent="0.3">
      <c r="A21" s="4">
        <v>14</v>
      </c>
      <c r="B21" s="9">
        <v>114</v>
      </c>
      <c r="C21" s="4" t="s">
        <v>27</v>
      </c>
      <c r="D21" s="4" t="s">
        <v>34</v>
      </c>
      <c r="E21" s="6">
        <v>80000</v>
      </c>
      <c r="F21" s="8">
        <f t="shared" si="0"/>
        <v>1600</v>
      </c>
      <c r="G21" s="4">
        <f t="shared" si="1"/>
        <v>16000</v>
      </c>
      <c r="H21" s="6">
        <v>2</v>
      </c>
      <c r="I21" s="7">
        <f t="shared" si="2"/>
        <v>769.23076923076928</v>
      </c>
      <c r="J21" s="5">
        <f t="shared" si="7"/>
        <v>98369.230769230766</v>
      </c>
      <c r="K21" s="6">
        <f t="shared" si="3"/>
        <v>9792</v>
      </c>
      <c r="L21" s="8">
        <f t="shared" si="4"/>
        <v>0</v>
      </c>
      <c r="M21" s="4">
        <f t="shared" si="5"/>
        <v>9792</v>
      </c>
      <c r="N21" s="10">
        <f t="shared" si="6"/>
        <v>88577.230769230766</v>
      </c>
    </row>
    <row r="22" spans="1:14" x14ac:dyDescent="0.3">
      <c r="A22" s="4">
        <v>15</v>
      </c>
      <c r="B22" s="9">
        <v>115</v>
      </c>
      <c r="C22" s="4" t="s">
        <v>28</v>
      </c>
      <c r="D22" s="4" t="s">
        <v>34</v>
      </c>
      <c r="E22" s="6">
        <v>90000</v>
      </c>
      <c r="F22" s="8">
        <f t="shared" si="0"/>
        <v>1800</v>
      </c>
      <c r="G22" s="4">
        <f t="shared" si="1"/>
        <v>18000</v>
      </c>
      <c r="H22" s="6">
        <v>8</v>
      </c>
      <c r="I22" s="7">
        <f t="shared" si="2"/>
        <v>3461.5384615384614</v>
      </c>
      <c r="J22" s="5">
        <f t="shared" si="7"/>
        <v>113261.53846153847</v>
      </c>
      <c r="K22" s="6">
        <f t="shared" si="3"/>
        <v>11016</v>
      </c>
      <c r="L22" s="8">
        <f t="shared" si="4"/>
        <v>0</v>
      </c>
      <c r="M22" s="4">
        <f t="shared" si="5"/>
        <v>11016</v>
      </c>
      <c r="N22" s="10">
        <f t="shared" si="6"/>
        <v>102245.53846153847</v>
      </c>
    </row>
    <row r="23" spans="1:14" x14ac:dyDescent="0.3">
      <c r="A23" s="4">
        <v>16</v>
      </c>
      <c r="B23" s="9">
        <v>116</v>
      </c>
      <c r="C23" s="4" t="s">
        <v>29</v>
      </c>
      <c r="D23" s="4" t="s">
        <v>34</v>
      </c>
      <c r="E23" s="6">
        <v>14000</v>
      </c>
      <c r="F23" s="8">
        <f t="shared" si="0"/>
        <v>280</v>
      </c>
      <c r="G23" s="4">
        <f t="shared" si="1"/>
        <v>2800</v>
      </c>
      <c r="H23" s="6">
        <v>9</v>
      </c>
      <c r="I23" s="7">
        <f t="shared" si="2"/>
        <v>605.76923076923072</v>
      </c>
      <c r="J23" s="5">
        <f t="shared" si="7"/>
        <v>17685.76923076923</v>
      </c>
      <c r="K23" s="6">
        <f t="shared" si="3"/>
        <v>1713.6</v>
      </c>
      <c r="L23" s="8">
        <f t="shared" si="4"/>
        <v>132.64326923076922</v>
      </c>
      <c r="M23" s="4">
        <f t="shared" si="5"/>
        <v>1846.2432692307691</v>
      </c>
      <c r="N23" s="10">
        <f t="shared" si="6"/>
        <v>15839.525961538462</v>
      </c>
    </row>
    <row r="24" spans="1:14" x14ac:dyDescent="0.3">
      <c r="A24" s="4">
        <v>17</v>
      </c>
      <c r="B24" s="9">
        <v>117</v>
      </c>
      <c r="C24" s="4" t="s">
        <v>30</v>
      </c>
      <c r="D24" s="4" t="s">
        <v>34</v>
      </c>
      <c r="E24" s="6">
        <v>11000</v>
      </c>
      <c r="F24" s="8">
        <f t="shared" si="0"/>
        <v>220</v>
      </c>
      <c r="G24" s="4">
        <f t="shared" si="1"/>
        <v>2200</v>
      </c>
      <c r="H24" s="6">
        <v>12</v>
      </c>
      <c r="I24" s="7">
        <f t="shared" si="2"/>
        <v>634.61538461538464</v>
      </c>
      <c r="J24" s="5">
        <f t="shared" si="7"/>
        <v>14054.615384615385</v>
      </c>
      <c r="K24" s="6">
        <f t="shared" si="3"/>
        <v>1346.3999999999999</v>
      </c>
      <c r="L24" s="8">
        <f t="shared" si="4"/>
        <v>105.40961538461538</v>
      </c>
      <c r="M24" s="4">
        <f t="shared" si="5"/>
        <v>1451.8096153846152</v>
      </c>
      <c r="N24" s="10">
        <f t="shared" si="6"/>
        <v>12602.80576923077</v>
      </c>
    </row>
    <row r="25" spans="1:14" x14ac:dyDescent="0.3">
      <c r="A25" s="4">
        <v>18</v>
      </c>
      <c r="B25" s="9">
        <v>118</v>
      </c>
      <c r="C25" s="4" t="s">
        <v>31</v>
      </c>
      <c r="D25" s="4" t="s">
        <v>34</v>
      </c>
      <c r="E25" s="6">
        <v>13000</v>
      </c>
      <c r="F25" s="8">
        <f t="shared" si="0"/>
        <v>260</v>
      </c>
      <c r="G25" s="4">
        <f t="shared" si="1"/>
        <v>2600</v>
      </c>
      <c r="H25" s="6">
        <v>6</v>
      </c>
      <c r="I25" s="7">
        <f>E25/26/8*H25</f>
        <v>375</v>
      </c>
      <c r="J25" s="5">
        <f t="shared" si="7"/>
        <v>16235</v>
      </c>
      <c r="K25" s="6">
        <f t="shared" si="3"/>
        <v>1591.2</v>
      </c>
      <c r="L25" s="8">
        <f t="shared" si="4"/>
        <v>121.76249999999999</v>
      </c>
      <c r="M25" s="4">
        <f t="shared" si="5"/>
        <v>1712.9625000000001</v>
      </c>
      <c r="N25" s="10">
        <f t="shared" si="6"/>
        <v>14522.0375</v>
      </c>
    </row>
    <row r="26" spans="1:14" x14ac:dyDescent="0.3">
      <c r="A26" s="4">
        <v>19</v>
      </c>
      <c r="B26" s="9">
        <v>119</v>
      </c>
      <c r="C26" s="4" t="s">
        <v>32</v>
      </c>
      <c r="D26" s="4" t="s">
        <v>34</v>
      </c>
      <c r="E26" s="6">
        <v>24000</v>
      </c>
      <c r="F26" s="8">
        <f t="shared" si="0"/>
        <v>480</v>
      </c>
      <c r="G26" s="4">
        <f t="shared" si="1"/>
        <v>4800</v>
      </c>
      <c r="H26" s="6">
        <v>31</v>
      </c>
      <c r="I26" s="7">
        <f t="shared" si="2"/>
        <v>3576.9230769230771</v>
      </c>
      <c r="J26" s="5">
        <f t="shared" si="7"/>
        <v>32856.923076923078</v>
      </c>
      <c r="K26" s="6">
        <f t="shared" si="3"/>
        <v>2937.6</v>
      </c>
      <c r="L26" s="8">
        <f t="shared" si="4"/>
        <v>0</v>
      </c>
      <c r="M26" s="4">
        <f t="shared" si="5"/>
        <v>2937.6</v>
      </c>
      <c r="N26" s="10">
        <f t="shared" si="6"/>
        <v>29919.323076923079</v>
      </c>
    </row>
    <row r="27" spans="1:14" x14ac:dyDescent="0.3">
      <c r="A27" s="4">
        <v>20</v>
      </c>
      <c r="B27" s="9">
        <v>120</v>
      </c>
      <c r="C27" s="4" t="s">
        <v>33</v>
      </c>
      <c r="D27" s="4" t="s">
        <v>34</v>
      </c>
      <c r="E27" s="6">
        <v>90000</v>
      </c>
      <c r="F27" s="8">
        <f t="shared" si="0"/>
        <v>1800</v>
      </c>
      <c r="G27" s="4">
        <f t="shared" si="1"/>
        <v>18000</v>
      </c>
      <c r="H27" s="6">
        <v>20</v>
      </c>
      <c r="I27" s="7">
        <f t="shared" si="2"/>
        <v>8653.8461538461543</v>
      </c>
      <c r="J27" s="5">
        <f t="shared" si="7"/>
        <v>118453.84615384616</v>
      </c>
      <c r="K27" s="6">
        <f t="shared" si="3"/>
        <v>11016</v>
      </c>
      <c r="L27" s="8">
        <f t="shared" si="4"/>
        <v>0</v>
      </c>
      <c r="M27" s="4">
        <f t="shared" si="5"/>
        <v>11016</v>
      </c>
      <c r="N27" s="10">
        <f t="shared" si="6"/>
        <v>107437.84615384616</v>
      </c>
    </row>
  </sheetData>
  <mergeCells count="1">
    <mergeCell ref="E4:L6"/>
  </mergeCells>
  <pageMargins left="0.25" right="0.25" top="0.75" bottom="0.75" header="0.3" footer="0.3"/>
  <pageSetup scale="5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341D2-71DB-4A9D-B5C0-3A427A1209A7}">
  <dimension ref="A1:N21"/>
  <sheetViews>
    <sheetView workbookViewId="0">
      <selection activeCell="Q13" sqref="Q12:Q13"/>
    </sheetView>
  </sheetViews>
  <sheetFormatPr defaultRowHeight="14.4" x14ac:dyDescent="0.3"/>
  <sheetData>
    <row r="1" spans="1:14" ht="72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10</v>
      </c>
      <c r="G1" s="2" t="s">
        <v>11</v>
      </c>
      <c r="H1" s="2" t="s">
        <v>5</v>
      </c>
      <c r="I1" s="2" t="s">
        <v>6</v>
      </c>
      <c r="J1" s="2" t="s">
        <v>7</v>
      </c>
      <c r="K1" s="2" t="s">
        <v>12</v>
      </c>
      <c r="L1" s="1" t="s">
        <v>13</v>
      </c>
      <c r="M1" s="2" t="s">
        <v>8</v>
      </c>
      <c r="N1" s="2" t="s">
        <v>9</v>
      </c>
    </row>
    <row r="2" spans="1:14" x14ac:dyDescent="0.3">
      <c r="A2" s="3">
        <v>1</v>
      </c>
      <c r="B2" s="3">
        <v>101</v>
      </c>
      <c r="C2" s="3" t="s">
        <v>14</v>
      </c>
      <c r="D2" s="3" t="s">
        <v>34</v>
      </c>
      <c r="E2" s="3">
        <v>15000</v>
      </c>
      <c r="F2" s="3">
        <f>E2*2%</f>
        <v>300</v>
      </c>
      <c r="G2" s="3">
        <f>E2*20%</f>
        <v>3000</v>
      </c>
      <c r="H2" s="3">
        <v>10</v>
      </c>
      <c r="I2" s="3">
        <f t="shared" ref="I2:I21" si="0">E2/26/8*H2</f>
        <v>721.15384615384619</v>
      </c>
      <c r="J2" s="3"/>
      <c r="K2" s="3"/>
      <c r="L2" s="3"/>
      <c r="M2" s="3"/>
      <c r="N2" s="3"/>
    </row>
    <row r="3" spans="1:14" x14ac:dyDescent="0.3">
      <c r="A3" s="3">
        <v>2</v>
      </c>
      <c r="B3" s="3">
        <v>102</v>
      </c>
      <c r="C3" s="3" t="s">
        <v>15</v>
      </c>
      <c r="D3" s="3" t="s">
        <v>34</v>
      </c>
      <c r="E3" s="3">
        <v>18000</v>
      </c>
      <c r="F3" s="3">
        <f t="shared" ref="F3:F21" si="1">E3*2%</f>
        <v>360</v>
      </c>
      <c r="G3" s="3">
        <f t="shared" ref="G3:G21" si="2">E3*20%</f>
        <v>3600</v>
      </c>
      <c r="H3" s="3">
        <v>20</v>
      </c>
      <c r="I3" s="3">
        <f t="shared" si="0"/>
        <v>1730.7692307692307</v>
      </c>
      <c r="J3" s="3"/>
      <c r="K3" s="3"/>
      <c r="L3" s="3"/>
      <c r="M3" s="3"/>
      <c r="N3" s="3"/>
    </row>
    <row r="4" spans="1:14" x14ac:dyDescent="0.3">
      <c r="A4" s="3">
        <v>3</v>
      </c>
      <c r="B4" s="3">
        <v>103</v>
      </c>
      <c r="C4" s="3" t="s">
        <v>16</v>
      </c>
      <c r="D4" s="3" t="s">
        <v>34</v>
      </c>
      <c r="E4" s="3">
        <v>30000</v>
      </c>
      <c r="F4" s="3">
        <f t="shared" si="1"/>
        <v>600</v>
      </c>
      <c r="G4" s="3">
        <f t="shared" si="2"/>
        <v>6000</v>
      </c>
      <c r="H4" s="3">
        <v>5</v>
      </c>
      <c r="I4" s="3">
        <f t="shared" si="0"/>
        <v>721.15384615384619</v>
      </c>
      <c r="J4" s="3"/>
      <c r="K4" s="3"/>
      <c r="L4" s="3"/>
      <c r="M4" s="3"/>
      <c r="N4" s="3"/>
    </row>
    <row r="5" spans="1:14" x14ac:dyDescent="0.3">
      <c r="A5" s="3">
        <v>4</v>
      </c>
      <c r="B5" s="3">
        <v>104</v>
      </c>
      <c r="C5" s="3" t="s">
        <v>17</v>
      </c>
      <c r="D5" s="3" t="s">
        <v>34</v>
      </c>
      <c r="E5" s="3">
        <v>40000</v>
      </c>
      <c r="F5" s="3">
        <f t="shared" si="1"/>
        <v>800</v>
      </c>
      <c r="G5" s="3">
        <f t="shared" si="2"/>
        <v>8000</v>
      </c>
      <c r="H5" s="3">
        <v>7</v>
      </c>
      <c r="I5" s="3">
        <f t="shared" si="0"/>
        <v>1346.1538461538462</v>
      </c>
      <c r="J5" s="3"/>
      <c r="K5" s="3"/>
      <c r="L5" s="3"/>
      <c r="M5" s="3"/>
      <c r="N5" s="3"/>
    </row>
    <row r="6" spans="1:14" x14ac:dyDescent="0.3">
      <c r="A6" s="3">
        <v>5</v>
      </c>
      <c r="B6" s="3">
        <v>105</v>
      </c>
      <c r="C6" s="3" t="s">
        <v>18</v>
      </c>
      <c r="D6" s="3" t="s">
        <v>34</v>
      </c>
      <c r="E6" s="3">
        <v>50000</v>
      </c>
      <c r="F6" s="3">
        <f t="shared" si="1"/>
        <v>1000</v>
      </c>
      <c r="G6" s="3">
        <f t="shared" si="2"/>
        <v>10000</v>
      </c>
      <c r="H6" s="3">
        <v>8</v>
      </c>
      <c r="I6" s="3">
        <f t="shared" si="0"/>
        <v>1923.0769230769231</v>
      </c>
      <c r="J6" s="3"/>
      <c r="K6" s="3"/>
      <c r="L6" s="3"/>
      <c r="M6" s="3"/>
      <c r="N6" s="3"/>
    </row>
    <row r="7" spans="1:14" x14ac:dyDescent="0.3">
      <c r="A7" s="3">
        <v>6</v>
      </c>
      <c r="B7" s="3">
        <v>106</v>
      </c>
      <c r="C7" s="3" t="s">
        <v>19</v>
      </c>
      <c r="D7" s="3" t="s">
        <v>34</v>
      </c>
      <c r="E7" s="3">
        <v>20000</v>
      </c>
      <c r="F7" s="3">
        <f t="shared" si="1"/>
        <v>400</v>
      </c>
      <c r="G7" s="3">
        <f t="shared" si="2"/>
        <v>4000</v>
      </c>
      <c r="H7" s="3">
        <v>10</v>
      </c>
      <c r="I7" s="3">
        <f t="shared" si="0"/>
        <v>961.53846153846166</v>
      </c>
      <c r="J7" s="3"/>
      <c r="K7" s="3"/>
      <c r="L7" s="3"/>
      <c r="M7" s="3"/>
      <c r="N7" s="3"/>
    </row>
    <row r="8" spans="1:14" x14ac:dyDescent="0.3">
      <c r="A8" s="3">
        <v>7</v>
      </c>
      <c r="B8" s="3">
        <v>107</v>
      </c>
      <c r="C8" s="3" t="s">
        <v>20</v>
      </c>
      <c r="D8" s="3" t="s">
        <v>34</v>
      </c>
      <c r="E8" s="3">
        <v>12000</v>
      </c>
      <c r="F8" s="3">
        <f t="shared" si="1"/>
        <v>240</v>
      </c>
      <c r="G8" s="3">
        <f t="shared" si="2"/>
        <v>2400</v>
      </c>
      <c r="H8" s="3">
        <v>3</v>
      </c>
      <c r="I8" s="3">
        <f t="shared" si="0"/>
        <v>173.07692307692309</v>
      </c>
      <c r="J8" s="3"/>
      <c r="K8" s="3"/>
      <c r="L8" s="3"/>
      <c r="M8" s="3"/>
      <c r="N8" s="3"/>
    </row>
    <row r="9" spans="1:14" x14ac:dyDescent="0.3">
      <c r="A9" s="3">
        <v>8</v>
      </c>
      <c r="B9" s="3">
        <v>108</v>
      </c>
      <c r="C9" s="3" t="s">
        <v>21</v>
      </c>
      <c r="D9" s="3" t="s">
        <v>34</v>
      </c>
      <c r="E9" s="3">
        <v>5000</v>
      </c>
      <c r="F9" s="3">
        <f t="shared" si="1"/>
        <v>100</v>
      </c>
      <c r="G9" s="3">
        <f t="shared" si="2"/>
        <v>1000</v>
      </c>
      <c r="H9" s="3">
        <v>7</v>
      </c>
      <c r="I9" s="3">
        <f t="shared" si="0"/>
        <v>168.26923076923077</v>
      </c>
      <c r="J9" s="3"/>
      <c r="K9" s="3"/>
      <c r="L9" s="3"/>
      <c r="M9" s="3"/>
      <c r="N9" s="3"/>
    </row>
    <row r="10" spans="1:14" x14ac:dyDescent="0.3">
      <c r="A10" s="3">
        <v>9</v>
      </c>
      <c r="B10" s="3">
        <v>109</v>
      </c>
      <c r="C10" s="3" t="s">
        <v>22</v>
      </c>
      <c r="D10" s="3" t="s">
        <v>34</v>
      </c>
      <c r="E10" s="3">
        <v>4000</v>
      </c>
      <c r="F10" s="3">
        <f t="shared" si="1"/>
        <v>80</v>
      </c>
      <c r="G10" s="3">
        <f t="shared" si="2"/>
        <v>800</v>
      </c>
      <c r="H10" s="3">
        <v>9</v>
      </c>
      <c r="I10" s="3">
        <f t="shared" si="0"/>
        <v>173.07692307692307</v>
      </c>
      <c r="J10" s="3"/>
      <c r="K10" s="3"/>
      <c r="L10" s="3"/>
      <c r="M10" s="3"/>
      <c r="N10" s="3"/>
    </row>
    <row r="11" spans="1:14" x14ac:dyDescent="0.3">
      <c r="A11" s="3">
        <v>10</v>
      </c>
      <c r="B11" s="3">
        <v>110</v>
      </c>
      <c r="C11" s="3" t="s">
        <v>23</v>
      </c>
      <c r="D11" s="3" t="s">
        <v>34</v>
      </c>
      <c r="E11" s="3">
        <v>23000</v>
      </c>
      <c r="F11" s="3">
        <f t="shared" si="1"/>
        <v>460</v>
      </c>
      <c r="G11" s="3">
        <f t="shared" si="2"/>
        <v>4600</v>
      </c>
      <c r="H11" s="3">
        <v>21</v>
      </c>
      <c r="I11" s="3">
        <f t="shared" si="0"/>
        <v>2322.1153846153848</v>
      </c>
      <c r="J11" s="3"/>
      <c r="K11" s="3"/>
      <c r="L11" s="3"/>
      <c r="M11" s="3"/>
      <c r="N11" s="3"/>
    </row>
    <row r="12" spans="1:14" x14ac:dyDescent="0.3">
      <c r="A12" s="3">
        <v>11</v>
      </c>
      <c r="B12" s="3">
        <v>111</v>
      </c>
      <c r="C12" s="3" t="s">
        <v>24</v>
      </c>
      <c r="D12" s="3" t="s">
        <v>34</v>
      </c>
      <c r="E12" s="3">
        <v>40000</v>
      </c>
      <c r="F12" s="3">
        <f t="shared" si="1"/>
        <v>800</v>
      </c>
      <c r="G12" s="3">
        <f t="shared" si="2"/>
        <v>8000</v>
      </c>
      <c r="H12" s="3">
        <v>9</v>
      </c>
      <c r="I12" s="3">
        <f t="shared" si="0"/>
        <v>1730.7692307692309</v>
      </c>
      <c r="J12" s="3"/>
      <c r="K12" s="3"/>
      <c r="L12" s="3"/>
      <c r="M12" s="3"/>
      <c r="N12" s="3"/>
    </row>
    <row r="13" spans="1:14" x14ac:dyDescent="0.3">
      <c r="A13" s="3">
        <v>12</v>
      </c>
      <c r="B13" s="3">
        <v>112</v>
      </c>
      <c r="C13" s="3" t="s">
        <v>25</v>
      </c>
      <c r="D13" s="3" t="s">
        <v>34</v>
      </c>
      <c r="E13" s="3">
        <v>60000</v>
      </c>
      <c r="F13" s="3">
        <f t="shared" si="1"/>
        <v>1200</v>
      </c>
      <c r="G13" s="3">
        <f t="shared" si="2"/>
        <v>12000</v>
      </c>
      <c r="H13" s="3">
        <v>5</v>
      </c>
      <c r="I13" s="3">
        <f t="shared" si="0"/>
        <v>1442.3076923076924</v>
      </c>
      <c r="J13" s="3"/>
      <c r="K13" s="3"/>
      <c r="L13" s="3"/>
      <c r="M13" s="3"/>
      <c r="N13" s="3"/>
    </row>
    <row r="14" spans="1:14" x14ac:dyDescent="0.3">
      <c r="A14" s="3">
        <v>13</v>
      </c>
      <c r="B14" s="3">
        <v>113</v>
      </c>
      <c r="C14" s="3" t="s">
        <v>26</v>
      </c>
      <c r="D14" s="3" t="s">
        <v>34</v>
      </c>
      <c r="E14" s="3">
        <v>70000</v>
      </c>
      <c r="F14" s="3">
        <f t="shared" si="1"/>
        <v>1400</v>
      </c>
      <c r="G14" s="3">
        <f t="shared" si="2"/>
        <v>14000</v>
      </c>
      <c r="H14" s="3">
        <v>4</v>
      </c>
      <c r="I14" s="3">
        <f t="shared" si="0"/>
        <v>1346.1538461538462</v>
      </c>
      <c r="J14" s="3"/>
      <c r="K14" s="3"/>
      <c r="L14" s="3"/>
      <c r="M14" s="3"/>
      <c r="N14" s="3"/>
    </row>
    <row r="15" spans="1:14" x14ac:dyDescent="0.3">
      <c r="A15" s="3">
        <v>14</v>
      </c>
      <c r="B15" s="3">
        <v>114</v>
      </c>
      <c r="C15" s="3" t="s">
        <v>27</v>
      </c>
      <c r="D15" s="3" t="s">
        <v>34</v>
      </c>
      <c r="E15" s="3">
        <v>80000</v>
      </c>
      <c r="F15" s="3">
        <f t="shared" si="1"/>
        <v>1600</v>
      </c>
      <c r="G15" s="3">
        <f t="shared" si="2"/>
        <v>16000</v>
      </c>
      <c r="H15" s="3">
        <v>2</v>
      </c>
      <c r="I15" s="3">
        <f t="shared" si="0"/>
        <v>769.23076923076928</v>
      </c>
      <c r="J15" s="3"/>
      <c r="K15" s="3"/>
      <c r="L15" s="3"/>
      <c r="M15" s="3"/>
      <c r="N15" s="3"/>
    </row>
    <row r="16" spans="1:14" x14ac:dyDescent="0.3">
      <c r="A16" s="3">
        <v>15</v>
      </c>
      <c r="B16" s="3">
        <v>115</v>
      </c>
      <c r="C16" s="3" t="s">
        <v>28</v>
      </c>
      <c r="D16" s="3" t="s">
        <v>34</v>
      </c>
      <c r="E16" s="3">
        <v>90000</v>
      </c>
      <c r="F16" s="3">
        <f t="shared" si="1"/>
        <v>1800</v>
      </c>
      <c r="G16" s="3">
        <f t="shared" si="2"/>
        <v>18000</v>
      </c>
      <c r="H16" s="3">
        <v>8</v>
      </c>
      <c r="I16" s="3">
        <f t="shared" si="0"/>
        <v>3461.5384615384614</v>
      </c>
      <c r="J16" s="3"/>
      <c r="K16" s="3"/>
      <c r="L16" s="3"/>
      <c r="M16" s="3"/>
      <c r="N16" s="3"/>
    </row>
    <row r="17" spans="1:14" x14ac:dyDescent="0.3">
      <c r="A17" s="3">
        <v>16</v>
      </c>
      <c r="B17" s="3">
        <v>116</v>
      </c>
      <c r="C17" s="3" t="s">
        <v>29</v>
      </c>
      <c r="D17" s="3" t="s">
        <v>34</v>
      </c>
      <c r="E17" s="3">
        <v>14000</v>
      </c>
      <c r="F17" s="3">
        <f t="shared" si="1"/>
        <v>280</v>
      </c>
      <c r="G17" s="3">
        <f t="shared" si="2"/>
        <v>2800</v>
      </c>
      <c r="H17" s="3">
        <v>9</v>
      </c>
      <c r="I17" s="3">
        <f t="shared" si="0"/>
        <v>605.76923076923072</v>
      </c>
      <c r="J17" s="3"/>
      <c r="K17" s="3"/>
      <c r="L17" s="3"/>
      <c r="M17" s="3"/>
      <c r="N17" s="3"/>
    </row>
    <row r="18" spans="1:14" x14ac:dyDescent="0.3">
      <c r="A18" s="3">
        <v>17</v>
      </c>
      <c r="B18" s="3">
        <v>117</v>
      </c>
      <c r="C18" s="3" t="s">
        <v>30</v>
      </c>
      <c r="D18" s="3" t="s">
        <v>34</v>
      </c>
      <c r="E18" s="3">
        <v>11000</v>
      </c>
      <c r="F18" s="3">
        <f t="shared" si="1"/>
        <v>220</v>
      </c>
      <c r="G18" s="3">
        <f t="shared" si="2"/>
        <v>2200</v>
      </c>
      <c r="H18" s="3">
        <v>12</v>
      </c>
      <c r="I18" s="3">
        <f t="shared" si="0"/>
        <v>634.61538461538464</v>
      </c>
      <c r="J18" s="3"/>
      <c r="K18" s="3"/>
      <c r="L18" s="3"/>
      <c r="M18" s="3"/>
      <c r="N18" s="3"/>
    </row>
    <row r="19" spans="1:14" x14ac:dyDescent="0.3">
      <c r="A19" s="3">
        <v>18</v>
      </c>
      <c r="B19" s="3">
        <v>118</v>
      </c>
      <c r="C19" s="3" t="s">
        <v>31</v>
      </c>
      <c r="D19" s="3" t="s">
        <v>34</v>
      </c>
      <c r="E19" s="3">
        <v>13000</v>
      </c>
      <c r="F19" s="3">
        <f t="shared" si="1"/>
        <v>260</v>
      </c>
      <c r="G19" s="3">
        <f t="shared" si="2"/>
        <v>2600</v>
      </c>
      <c r="H19" s="3">
        <v>6</v>
      </c>
      <c r="I19" s="3">
        <f t="shared" si="0"/>
        <v>375</v>
      </c>
      <c r="J19" s="3"/>
      <c r="K19" s="3"/>
      <c r="L19" s="3"/>
      <c r="M19" s="3"/>
      <c r="N19" s="3"/>
    </row>
    <row r="20" spans="1:14" x14ac:dyDescent="0.3">
      <c r="A20" s="3">
        <v>19</v>
      </c>
      <c r="B20" s="3">
        <v>119</v>
      </c>
      <c r="C20" s="3" t="s">
        <v>32</v>
      </c>
      <c r="D20" s="3" t="s">
        <v>34</v>
      </c>
      <c r="E20" s="3">
        <v>24000</v>
      </c>
      <c r="F20" s="3">
        <f t="shared" si="1"/>
        <v>480</v>
      </c>
      <c r="G20" s="3">
        <f t="shared" si="2"/>
        <v>4800</v>
      </c>
      <c r="H20" s="3">
        <v>31</v>
      </c>
      <c r="I20" s="3">
        <f t="shared" si="0"/>
        <v>3576.9230769230771</v>
      </c>
      <c r="J20" s="3"/>
      <c r="K20" s="3"/>
      <c r="L20" s="3"/>
      <c r="M20" s="3"/>
      <c r="N20" s="3"/>
    </row>
    <row r="21" spans="1:14" x14ac:dyDescent="0.3">
      <c r="A21" s="3">
        <v>20</v>
      </c>
      <c r="B21" s="3">
        <v>120</v>
      </c>
      <c r="C21" s="3" t="s">
        <v>33</v>
      </c>
      <c r="D21" s="3" t="s">
        <v>34</v>
      </c>
      <c r="E21" s="3">
        <v>90000</v>
      </c>
      <c r="F21" s="3">
        <f t="shared" si="1"/>
        <v>1800</v>
      </c>
      <c r="G21" s="3">
        <f t="shared" si="2"/>
        <v>18000</v>
      </c>
      <c r="H21" s="3">
        <v>20</v>
      </c>
      <c r="I21" s="3">
        <f t="shared" si="0"/>
        <v>8653.8461538461543</v>
      </c>
      <c r="J21" s="3"/>
      <c r="K21" s="3"/>
      <c r="L21" s="3"/>
      <c r="M21" s="3"/>
      <c r="N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shehnaz akhtar</dc:creator>
  <cp:lastModifiedBy>shehnaz akhtar</cp:lastModifiedBy>
  <cp:lastPrinted>2026-02-23T18:44:03Z</cp:lastPrinted>
  <dcterms:created xsi:type="dcterms:W3CDTF">2026-01-17T09:21:19Z</dcterms:created>
  <dcterms:modified xsi:type="dcterms:W3CDTF">2026-02-23T18:44:57Z</dcterms:modified>
</cp:coreProperties>
</file>